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PSS\"/>
    </mc:Choice>
  </mc:AlternateContent>
  <xr:revisionPtr revIDLastSave="0" documentId="8_{9B24C2AF-39AE-4E12-8F0A-8E6F5415A39D}" xr6:coauthVersionLast="47" xr6:coauthVersionMax="47" xr10:uidLastSave="{00000000-0000-0000-0000-000000000000}"/>
  <bookViews>
    <workbookView xWindow="-120" yWindow="-120" windowWidth="20730" windowHeight="11760" xr2:uid="{00E81E74-DAE9-4039-9568-3362BD70208E}"/>
  </bookViews>
  <sheets>
    <sheet name="DATA" sheetId="1" r:id="rId1"/>
  </sheets>
  <definedNames>
    <definedName name="_xlnm.Print_Area" localSheetId="0">DATA!$B$2:$W$44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5" i="1" l="1"/>
  <c r="V45" i="1"/>
  <c r="U45" i="1"/>
  <c r="T45" i="1"/>
  <c r="S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Z44" i="1"/>
  <c r="X44" i="1"/>
  <c r="Z43" i="1"/>
  <c r="X43" i="1"/>
  <c r="Z42" i="1"/>
  <c r="X42" i="1"/>
  <c r="Z41" i="1"/>
  <c r="X41" i="1"/>
  <c r="Z40" i="1"/>
  <c r="X40" i="1"/>
  <c r="Z39" i="1"/>
  <c r="X39" i="1"/>
  <c r="Z38" i="1"/>
  <c r="X38" i="1"/>
  <c r="Z37" i="1"/>
  <c r="X37" i="1"/>
  <c r="Z36" i="1"/>
  <c r="X36" i="1"/>
  <c r="Z35" i="1"/>
  <c r="X35" i="1"/>
  <c r="Z34" i="1"/>
  <c r="X34" i="1"/>
  <c r="Z33" i="1"/>
  <c r="X33" i="1"/>
  <c r="Z32" i="1"/>
  <c r="X32" i="1"/>
  <c r="Z31" i="1"/>
  <c r="X31" i="1"/>
  <c r="Z30" i="1"/>
  <c r="X30" i="1"/>
  <c r="Z29" i="1"/>
  <c r="X29" i="1"/>
  <c r="Z28" i="1"/>
  <c r="X28" i="1"/>
  <c r="Z27" i="1"/>
  <c r="X27" i="1"/>
  <c r="Z26" i="1"/>
  <c r="X26" i="1"/>
  <c r="Z25" i="1"/>
  <c r="X25" i="1"/>
  <c r="Z24" i="1"/>
  <c r="X24" i="1"/>
  <c r="Z23" i="1"/>
  <c r="X23" i="1"/>
  <c r="Z22" i="1"/>
  <c r="X22" i="1"/>
  <c r="Z21" i="1"/>
  <c r="X21" i="1"/>
  <c r="Z20" i="1"/>
  <c r="X20" i="1"/>
  <c r="Z19" i="1"/>
  <c r="X19" i="1"/>
  <c r="Z18" i="1"/>
  <c r="X18" i="1"/>
  <c r="Z17" i="1"/>
  <c r="X17" i="1"/>
  <c r="Z16" i="1"/>
  <c r="X16" i="1"/>
  <c r="Z15" i="1"/>
  <c r="X15" i="1"/>
  <c r="Z14" i="1"/>
  <c r="X14" i="1"/>
  <c r="Z13" i="1"/>
  <c r="X13" i="1"/>
  <c r="Z12" i="1"/>
  <c r="X12" i="1"/>
  <c r="Z11" i="1"/>
  <c r="X11" i="1"/>
  <c r="Z10" i="1"/>
  <c r="X10" i="1"/>
  <c r="Z9" i="1"/>
  <c r="X9" i="1"/>
  <c r="Z8" i="1"/>
  <c r="X8" i="1"/>
  <c r="Z7" i="1"/>
  <c r="X7" i="1"/>
  <c r="Z6" i="1"/>
  <c r="X6" i="1"/>
  <c r="Z5" i="1"/>
  <c r="W48" i="1" s="1"/>
  <c r="W50" i="1" s="1"/>
  <c r="X5" i="1"/>
  <c r="G48" i="1" l="1"/>
  <c r="G50" i="1" s="1"/>
  <c r="K48" i="1"/>
  <c r="K50" i="1" s="1"/>
  <c r="O48" i="1"/>
  <c r="O50" i="1" s="1"/>
  <c r="C48" i="1"/>
  <c r="C50" i="1" s="1"/>
  <c r="T48" i="1"/>
  <c r="T50" i="1" s="1"/>
  <c r="D48" i="1"/>
  <c r="D50" i="1" s="1"/>
  <c r="H48" i="1"/>
  <c r="H50" i="1" s="1"/>
  <c r="L48" i="1"/>
  <c r="L50" i="1" s="1"/>
  <c r="P48" i="1"/>
  <c r="P50" i="1" s="1"/>
  <c r="U48" i="1"/>
  <c r="U50" i="1" s="1"/>
  <c r="E48" i="1"/>
  <c r="E50" i="1" s="1"/>
  <c r="I48" i="1"/>
  <c r="I50" i="1" s="1"/>
  <c r="M48" i="1"/>
  <c r="M50" i="1" s="1"/>
  <c r="Q48" i="1"/>
  <c r="Q50" i="1" s="1"/>
  <c r="V48" i="1"/>
  <c r="V50" i="1" s="1"/>
  <c r="F48" i="1"/>
  <c r="F50" i="1" s="1"/>
  <c r="J48" i="1"/>
  <c r="J50" i="1" s="1"/>
  <c r="N48" i="1"/>
  <c r="N50" i="1" s="1"/>
  <c r="S48" i="1"/>
  <c r="S50" i="1" s="1"/>
</calcChain>
</file>

<file path=xl/sharedStrings.xml><?xml version="1.0" encoding="utf-8"?>
<sst xmlns="http://schemas.openxmlformats.org/spreadsheetml/2006/main" count="28" uniqueCount="28">
  <si>
    <t>RESPONDEN</t>
  </si>
  <si>
    <t>VARIABEL</t>
  </si>
  <si>
    <t>Y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</si>
  <si>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</si>
  <si>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</si>
  <si>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</si>
  <si>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</si>
  <si>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</si>
  <si>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</si>
  <si>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</si>
  <si>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</si>
  <si>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</si>
  <si>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</si>
  <si>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</si>
  <si>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</si>
  <si>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</si>
  <si>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</si>
  <si>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</si>
  <si>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</si>
  <si>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</si>
  <si>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</si>
  <si>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</si>
  <si>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</si>
  <si>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Average</t>
  </si>
  <si>
    <t>r Hitung</t>
  </si>
  <si>
    <t>r Tabel</t>
  </si>
  <si>
    <t>v/t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</si>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</sst>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0" fontId="1" fillId="2" borderId="8" xfId="0" applyFont="1" applyFill="1" applyBorder="1"/>
    <xf numFmtId="2" fontId="1" fillId="2" borderId="8" xfId="0" applyNumberFormat="1" applyFont="1" applyFill="1" applyBorder="1" applyAlignment="1">
      <alignment horizontal="center"/>
    </xf>
    <xf numFmtId="0" fontId="0" fillId="2" borderId="8" xfId="0" applyFill="1" applyBorder="1"/>
    <xf numFmtId="0" fontId="3" fillId="2" borderId="0" xfId="0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2" fontId="4" fillId="2" borderId="0" xfId="0" applyNumberFormat="1" applyFont="1" applyFill="1"/>
    <xf numFmtId="0" fontId="0" fillId="2" borderId="0" xfId="0" applyFill="1" applyAlignment="1">
      <alignment horizontal="center"/>
    </xf>
    <xf numFmtId="164" fontId="0" fillId="2" borderId="0" xfId="0" applyNumberFormat="1" applyFill="1"/>
    <xf numFmtId="0" fontId="2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AEBB-6A2E-4E28-8EAC-1CC3F96F2712}">
  <dimension ref="B1:Z65"/>
  <sheetViews>
    <sheetView tabSelected="1" topLeftCell="A24" zoomScale="70" zoomScaleNormal="70" zoomScaleSheetLayoutView="70" workbookViewId="0">
      <selection activeCell="A60" sqref="A60"/>
    </sheetView>
  </sheetViews>
  <sheetFormatPr defaultRowHeight="15" x14ac:dyDescent="0.25"/>
  <cols>
    <col min="1" max="1" width="3.5703125" style="1" customWidth="1"/>
    <col min="2" max="2" width="16" style="1" customWidth="1"/>
    <col min="3" max="23" width="7" style="1" customWidth="1"/>
    <col min="24" max="24" width="11" style="1" hidden="1" customWidth="1"/>
    <col min="25" max="25" width="5" style="1" hidden="1" customWidth="1"/>
    <col min="26" max="26" width="0" style="2" hidden="1" customWidth="1"/>
    <col min="27" max="16384" width="9.140625" style="1"/>
  </cols>
  <sheetData>
    <row r="1" spans="2:26" ht="13.5" customHeight="1" x14ac:dyDescent="0.25"/>
    <row r="2" spans="2:26" s="8" customFormat="1" ht="13.5" customHeight="1" x14ac:dyDescent="0.25">
      <c r="B2" s="3" t="s">
        <v>0</v>
      </c>
      <c r="C2" s="4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7"/>
      <c r="Z2" s="2"/>
    </row>
    <row r="3" spans="2:26" s="8" customFormat="1" ht="13.5" customHeight="1" x14ac:dyDescent="0.25">
      <c r="B3" s="28"/>
      <c r="C3" s="4" t="s">
        <v>27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  <c r="R3" s="29"/>
      <c r="S3" s="4" t="s">
        <v>2</v>
      </c>
      <c r="T3" s="5"/>
      <c r="U3" s="5"/>
      <c r="V3" s="5"/>
      <c r="W3" s="6"/>
      <c r="X3" s="30"/>
      <c r="Z3" s="2"/>
    </row>
    <row r="4" spans="2:26" s="2" customFormat="1" ht="20.25" customHeight="1" thickBot="1" x14ac:dyDescent="0.3">
      <c r="B4" s="9"/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  <c r="O4" s="10" t="s">
        <v>15</v>
      </c>
      <c r="P4" s="10" t="s">
        <v>16</v>
      </c>
      <c r="Q4" s="10" t="s">
        <v>17</v>
      </c>
      <c r="R4" s="10"/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1"/>
    </row>
    <row r="5" spans="2:26" ht="15.75" customHeight="1" thickTop="1" x14ac:dyDescent="0.25">
      <c r="B5" s="12">
        <v>1</v>
      </c>
      <c r="C5" s="31">
        <v>4</v>
      </c>
      <c r="D5" s="31">
        <v>5</v>
      </c>
      <c r="E5" s="31">
        <v>5</v>
      </c>
      <c r="F5" s="31">
        <v>5</v>
      </c>
      <c r="G5" s="31">
        <v>4</v>
      </c>
      <c r="H5" s="31">
        <v>5</v>
      </c>
      <c r="I5" s="31">
        <v>4</v>
      </c>
      <c r="J5" s="31">
        <v>5</v>
      </c>
      <c r="K5" s="31">
        <v>5</v>
      </c>
      <c r="L5" s="31">
        <v>4</v>
      </c>
      <c r="M5" s="31">
        <v>4</v>
      </c>
      <c r="N5" s="31">
        <v>5</v>
      </c>
      <c r="O5" s="31">
        <v>5</v>
      </c>
      <c r="P5" s="31">
        <v>3</v>
      </c>
      <c r="Q5" s="31">
        <v>4</v>
      </c>
      <c r="R5" s="13"/>
      <c r="S5" s="33">
        <v>5</v>
      </c>
      <c r="T5" s="33">
        <v>5</v>
      </c>
      <c r="U5" s="33">
        <v>4</v>
      </c>
      <c r="V5" s="33">
        <v>5</v>
      </c>
      <c r="W5" s="33">
        <v>5</v>
      </c>
      <c r="X5" s="14">
        <f>SUM(C5:W5)/20</f>
        <v>4.55</v>
      </c>
      <c r="Z5" s="2">
        <f>SUM(C5:W5)</f>
        <v>91</v>
      </c>
    </row>
    <row r="6" spans="2:26" ht="15.75" customHeight="1" x14ac:dyDescent="0.25">
      <c r="B6" s="15">
        <v>2</v>
      </c>
      <c r="C6" s="32">
        <v>5</v>
      </c>
      <c r="D6" s="32">
        <v>5</v>
      </c>
      <c r="E6" s="32">
        <v>4</v>
      </c>
      <c r="F6" s="32">
        <v>4</v>
      </c>
      <c r="G6" s="32">
        <v>5</v>
      </c>
      <c r="H6" s="32">
        <v>5</v>
      </c>
      <c r="I6" s="32">
        <v>5</v>
      </c>
      <c r="J6" s="32">
        <v>4</v>
      </c>
      <c r="K6" s="32">
        <v>5</v>
      </c>
      <c r="L6" s="32">
        <v>4</v>
      </c>
      <c r="M6" s="32">
        <v>5</v>
      </c>
      <c r="N6" s="32">
        <v>4</v>
      </c>
      <c r="O6" s="32">
        <v>4</v>
      </c>
      <c r="P6" s="32">
        <v>5</v>
      </c>
      <c r="Q6" s="32">
        <v>4</v>
      </c>
      <c r="R6" s="16"/>
      <c r="S6" s="34">
        <v>5</v>
      </c>
      <c r="T6" s="34">
        <v>3</v>
      </c>
      <c r="U6" s="34">
        <v>4</v>
      </c>
      <c r="V6" s="34">
        <v>4</v>
      </c>
      <c r="W6" s="34">
        <v>4</v>
      </c>
      <c r="X6" s="17">
        <f>SUM(C6:W6)/20</f>
        <v>4.4000000000000004</v>
      </c>
      <c r="Z6" s="2">
        <f>SUM(C6:W6)</f>
        <v>88</v>
      </c>
    </row>
    <row r="7" spans="2:26" ht="15.75" customHeight="1" x14ac:dyDescent="0.25">
      <c r="B7" s="15">
        <v>3</v>
      </c>
      <c r="C7" s="32">
        <v>5</v>
      </c>
      <c r="D7" s="32">
        <v>5</v>
      </c>
      <c r="E7" s="32">
        <v>3</v>
      </c>
      <c r="F7" s="32">
        <v>4</v>
      </c>
      <c r="G7" s="32">
        <v>5</v>
      </c>
      <c r="H7" s="32">
        <v>5</v>
      </c>
      <c r="I7" s="32">
        <v>4</v>
      </c>
      <c r="J7" s="32">
        <v>3</v>
      </c>
      <c r="K7" s="32">
        <v>4</v>
      </c>
      <c r="L7" s="32">
        <v>5</v>
      </c>
      <c r="M7" s="32">
        <v>5</v>
      </c>
      <c r="N7" s="32">
        <v>5</v>
      </c>
      <c r="O7" s="32">
        <v>5</v>
      </c>
      <c r="P7" s="32">
        <v>4</v>
      </c>
      <c r="Q7" s="32">
        <v>4</v>
      </c>
      <c r="R7" s="16"/>
      <c r="S7" s="34">
        <v>4</v>
      </c>
      <c r="T7" s="34">
        <v>4</v>
      </c>
      <c r="U7" s="34">
        <v>3</v>
      </c>
      <c r="V7" s="34">
        <v>4</v>
      </c>
      <c r="W7" s="34">
        <v>5</v>
      </c>
      <c r="X7" s="17">
        <f>SUM(C7:W7)/20</f>
        <v>4.3</v>
      </c>
      <c r="Z7" s="2">
        <f>SUM(C7:W7)</f>
        <v>86</v>
      </c>
    </row>
    <row r="8" spans="2:26" ht="15.75" customHeight="1" x14ac:dyDescent="0.25">
      <c r="B8" s="15">
        <v>4</v>
      </c>
      <c r="C8" s="32">
        <v>3</v>
      </c>
      <c r="D8" s="32">
        <v>4</v>
      </c>
      <c r="E8" s="32">
        <v>3</v>
      </c>
      <c r="F8" s="32">
        <v>5</v>
      </c>
      <c r="G8" s="32">
        <v>4</v>
      </c>
      <c r="H8" s="32">
        <v>3</v>
      </c>
      <c r="I8" s="32">
        <v>5</v>
      </c>
      <c r="J8" s="32">
        <v>4</v>
      </c>
      <c r="K8" s="32">
        <v>3</v>
      </c>
      <c r="L8" s="32">
        <v>4</v>
      </c>
      <c r="M8" s="32">
        <v>5</v>
      </c>
      <c r="N8" s="32">
        <v>3</v>
      </c>
      <c r="O8" s="32">
        <v>4</v>
      </c>
      <c r="P8" s="32">
        <v>4</v>
      </c>
      <c r="Q8" s="32">
        <v>5</v>
      </c>
      <c r="R8" s="16"/>
      <c r="S8" s="34">
        <v>3</v>
      </c>
      <c r="T8" s="34">
        <v>5</v>
      </c>
      <c r="U8" s="34">
        <v>4</v>
      </c>
      <c r="V8" s="34">
        <v>4</v>
      </c>
      <c r="W8" s="34">
        <v>3</v>
      </c>
      <c r="X8" s="17">
        <f>SUM(C8:W8)/20</f>
        <v>3.9</v>
      </c>
      <c r="Z8" s="2">
        <f>SUM(C8:W8)</f>
        <v>78</v>
      </c>
    </row>
    <row r="9" spans="2:26" ht="15.75" customHeight="1" x14ac:dyDescent="0.25">
      <c r="B9" s="15">
        <v>5</v>
      </c>
      <c r="C9" s="32">
        <v>4</v>
      </c>
      <c r="D9" s="32">
        <v>5</v>
      </c>
      <c r="E9" s="32">
        <v>4</v>
      </c>
      <c r="F9" s="32">
        <v>4</v>
      </c>
      <c r="G9" s="32">
        <v>4</v>
      </c>
      <c r="H9" s="32">
        <v>4</v>
      </c>
      <c r="I9" s="32">
        <v>4</v>
      </c>
      <c r="J9" s="32">
        <v>3</v>
      </c>
      <c r="K9" s="32">
        <v>4</v>
      </c>
      <c r="L9" s="32">
        <v>5</v>
      </c>
      <c r="M9" s="32">
        <v>3</v>
      </c>
      <c r="N9" s="32">
        <v>3</v>
      </c>
      <c r="O9" s="32">
        <v>4</v>
      </c>
      <c r="P9" s="32">
        <v>4</v>
      </c>
      <c r="Q9" s="32">
        <v>4</v>
      </c>
      <c r="R9" s="16"/>
      <c r="S9" s="34">
        <v>5</v>
      </c>
      <c r="T9" s="34">
        <v>4</v>
      </c>
      <c r="U9" s="34">
        <v>4</v>
      </c>
      <c r="V9" s="34">
        <v>5</v>
      </c>
      <c r="W9" s="34">
        <v>4</v>
      </c>
      <c r="X9" s="17">
        <f>SUM(C9:W9)/20</f>
        <v>4.05</v>
      </c>
      <c r="Z9" s="2">
        <f>SUM(C9:W9)</f>
        <v>81</v>
      </c>
    </row>
    <row r="10" spans="2:26" ht="15.75" customHeight="1" x14ac:dyDescent="0.25">
      <c r="B10" s="15">
        <v>6</v>
      </c>
      <c r="C10" s="32">
        <v>4</v>
      </c>
      <c r="D10" s="32">
        <v>4</v>
      </c>
      <c r="E10" s="32">
        <v>5</v>
      </c>
      <c r="F10" s="32">
        <v>3</v>
      </c>
      <c r="G10" s="32">
        <v>5</v>
      </c>
      <c r="H10" s="32">
        <v>4</v>
      </c>
      <c r="I10" s="32">
        <v>4</v>
      </c>
      <c r="J10" s="32">
        <v>3</v>
      </c>
      <c r="K10" s="32">
        <v>5</v>
      </c>
      <c r="L10" s="32">
        <v>3</v>
      </c>
      <c r="M10" s="32">
        <v>5</v>
      </c>
      <c r="N10" s="32">
        <v>4</v>
      </c>
      <c r="O10" s="32">
        <v>4</v>
      </c>
      <c r="P10" s="32">
        <v>4</v>
      </c>
      <c r="Q10" s="32">
        <v>5</v>
      </c>
      <c r="R10" s="16"/>
      <c r="S10" s="34">
        <v>5</v>
      </c>
      <c r="T10" s="34">
        <v>4</v>
      </c>
      <c r="U10" s="34">
        <v>5</v>
      </c>
      <c r="V10" s="34">
        <v>2</v>
      </c>
      <c r="W10" s="34">
        <v>3</v>
      </c>
      <c r="X10" s="17">
        <f>SUM(C10:W10)/20</f>
        <v>4.05</v>
      </c>
      <c r="Z10" s="2">
        <f>SUM(C10:W10)</f>
        <v>81</v>
      </c>
    </row>
    <row r="11" spans="2:26" ht="15.75" customHeight="1" x14ac:dyDescent="0.25">
      <c r="B11" s="15">
        <v>7</v>
      </c>
      <c r="C11" s="32">
        <v>4</v>
      </c>
      <c r="D11" s="32">
        <v>5</v>
      </c>
      <c r="E11" s="32">
        <v>3</v>
      </c>
      <c r="F11" s="32">
        <v>5</v>
      </c>
      <c r="G11" s="32">
        <v>4</v>
      </c>
      <c r="H11" s="32">
        <v>3</v>
      </c>
      <c r="I11" s="32">
        <v>3</v>
      </c>
      <c r="J11" s="32">
        <v>3</v>
      </c>
      <c r="K11" s="32">
        <v>4</v>
      </c>
      <c r="L11" s="32">
        <v>3</v>
      </c>
      <c r="M11" s="32">
        <v>3</v>
      </c>
      <c r="N11" s="32">
        <v>3</v>
      </c>
      <c r="O11" s="32">
        <v>4</v>
      </c>
      <c r="P11" s="32">
        <v>4</v>
      </c>
      <c r="Q11" s="32">
        <v>3</v>
      </c>
      <c r="R11" s="16"/>
      <c r="S11" s="34">
        <v>4</v>
      </c>
      <c r="T11" s="34">
        <v>3</v>
      </c>
      <c r="U11" s="34">
        <v>4</v>
      </c>
      <c r="V11" s="34">
        <v>3</v>
      </c>
      <c r="W11" s="34">
        <v>3</v>
      </c>
      <c r="X11" s="17">
        <f>SUM(C11:W11)/20</f>
        <v>3.55</v>
      </c>
      <c r="Z11" s="2">
        <f>SUM(C11:W11)</f>
        <v>71</v>
      </c>
    </row>
    <row r="12" spans="2:26" ht="15.75" customHeight="1" x14ac:dyDescent="0.25">
      <c r="B12" s="15">
        <v>8</v>
      </c>
      <c r="C12" s="32">
        <v>3</v>
      </c>
      <c r="D12" s="32">
        <v>4</v>
      </c>
      <c r="E12" s="32">
        <v>3</v>
      </c>
      <c r="F12" s="32">
        <v>3</v>
      </c>
      <c r="G12" s="32">
        <v>5</v>
      </c>
      <c r="H12" s="32">
        <v>3</v>
      </c>
      <c r="I12" s="32">
        <v>4</v>
      </c>
      <c r="J12" s="32">
        <v>4</v>
      </c>
      <c r="K12" s="32">
        <v>4</v>
      </c>
      <c r="L12" s="32">
        <v>4</v>
      </c>
      <c r="M12" s="32">
        <v>4</v>
      </c>
      <c r="N12" s="32">
        <v>3</v>
      </c>
      <c r="O12" s="32">
        <v>3</v>
      </c>
      <c r="P12" s="32">
        <v>4</v>
      </c>
      <c r="Q12" s="32">
        <v>3</v>
      </c>
      <c r="R12" s="16"/>
      <c r="S12" s="34">
        <v>3</v>
      </c>
      <c r="T12" s="34">
        <v>4</v>
      </c>
      <c r="U12" s="34">
        <v>3</v>
      </c>
      <c r="V12" s="34">
        <v>5</v>
      </c>
      <c r="W12" s="34">
        <v>3</v>
      </c>
      <c r="X12" s="17">
        <f>SUM(C12:W12)/20</f>
        <v>3.6</v>
      </c>
      <c r="Z12" s="2">
        <f>SUM(C12:W12)</f>
        <v>72</v>
      </c>
    </row>
    <row r="13" spans="2:26" ht="15.75" customHeight="1" x14ac:dyDescent="0.25">
      <c r="B13" s="15">
        <v>9</v>
      </c>
      <c r="C13" s="32">
        <v>4</v>
      </c>
      <c r="D13" s="32">
        <v>4</v>
      </c>
      <c r="E13" s="32">
        <v>5</v>
      </c>
      <c r="F13" s="32">
        <v>5</v>
      </c>
      <c r="G13" s="32">
        <v>4</v>
      </c>
      <c r="H13" s="32">
        <v>5</v>
      </c>
      <c r="I13" s="32">
        <v>4</v>
      </c>
      <c r="J13" s="32">
        <v>4</v>
      </c>
      <c r="K13" s="32">
        <v>4</v>
      </c>
      <c r="L13" s="32">
        <v>5</v>
      </c>
      <c r="M13" s="32">
        <v>5</v>
      </c>
      <c r="N13" s="32">
        <v>4</v>
      </c>
      <c r="O13" s="32">
        <v>3</v>
      </c>
      <c r="P13" s="32">
        <v>5</v>
      </c>
      <c r="Q13" s="32">
        <v>5</v>
      </c>
      <c r="R13" s="16"/>
      <c r="S13" s="34">
        <v>4</v>
      </c>
      <c r="T13" s="34">
        <v>3</v>
      </c>
      <c r="U13" s="34">
        <v>3</v>
      </c>
      <c r="V13" s="34">
        <v>5</v>
      </c>
      <c r="W13" s="34">
        <v>4</v>
      </c>
      <c r="X13" s="17">
        <f>SUM(C13:W13)/20</f>
        <v>4.25</v>
      </c>
      <c r="Z13" s="2">
        <f>SUM(C13:W13)</f>
        <v>85</v>
      </c>
    </row>
    <row r="14" spans="2:26" ht="15.75" customHeight="1" x14ac:dyDescent="0.25">
      <c r="B14" s="15">
        <v>10</v>
      </c>
      <c r="C14" s="32">
        <v>3</v>
      </c>
      <c r="D14" s="32">
        <v>3</v>
      </c>
      <c r="E14" s="32">
        <v>4</v>
      </c>
      <c r="F14" s="32">
        <v>4</v>
      </c>
      <c r="G14" s="32">
        <v>3</v>
      </c>
      <c r="H14" s="32">
        <v>5</v>
      </c>
      <c r="I14" s="32">
        <v>3</v>
      </c>
      <c r="J14" s="32">
        <v>4</v>
      </c>
      <c r="K14" s="32">
        <v>4</v>
      </c>
      <c r="L14" s="32">
        <v>3</v>
      </c>
      <c r="M14" s="32">
        <v>5</v>
      </c>
      <c r="N14" s="32">
        <v>4</v>
      </c>
      <c r="O14" s="32">
        <v>4</v>
      </c>
      <c r="P14" s="32">
        <v>4</v>
      </c>
      <c r="Q14" s="32">
        <v>4</v>
      </c>
      <c r="R14" s="16"/>
      <c r="S14" s="34">
        <v>5</v>
      </c>
      <c r="T14" s="34">
        <v>4</v>
      </c>
      <c r="U14" s="34">
        <v>4</v>
      </c>
      <c r="V14" s="34">
        <v>5</v>
      </c>
      <c r="W14" s="34">
        <v>4</v>
      </c>
      <c r="X14" s="17">
        <f>SUM(C14:W14)/20</f>
        <v>3.95</v>
      </c>
      <c r="Z14" s="2">
        <f>SUM(C14:W14)</f>
        <v>79</v>
      </c>
    </row>
    <row r="15" spans="2:26" ht="15.75" customHeight="1" x14ac:dyDescent="0.25">
      <c r="B15" s="15">
        <v>11</v>
      </c>
      <c r="C15" s="32">
        <v>3</v>
      </c>
      <c r="D15" s="32">
        <v>4</v>
      </c>
      <c r="E15" s="32">
        <v>4</v>
      </c>
      <c r="F15" s="32">
        <v>3</v>
      </c>
      <c r="G15" s="32">
        <v>4</v>
      </c>
      <c r="H15" s="32">
        <v>3</v>
      </c>
      <c r="I15" s="32">
        <v>4</v>
      </c>
      <c r="J15" s="32">
        <v>4</v>
      </c>
      <c r="K15" s="32">
        <v>4</v>
      </c>
      <c r="L15" s="32">
        <v>5</v>
      </c>
      <c r="M15" s="32">
        <v>4</v>
      </c>
      <c r="N15" s="32">
        <v>3</v>
      </c>
      <c r="O15" s="32">
        <v>4</v>
      </c>
      <c r="P15" s="32">
        <v>4</v>
      </c>
      <c r="Q15" s="32">
        <v>4</v>
      </c>
      <c r="R15" s="16"/>
      <c r="S15" s="34">
        <v>4</v>
      </c>
      <c r="T15" s="34">
        <v>4</v>
      </c>
      <c r="U15" s="34">
        <v>4</v>
      </c>
      <c r="V15" s="34">
        <v>5</v>
      </c>
      <c r="W15" s="34">
        <v>5</v>
      </c>
      <c r="X15" s="17">
        <f>SUM(C15:W15)/20</f>
        <v>3.95</v>
      </c>
      <c r="Z15" s="2">
        <f>SUM(C15:W15)</f>
        <v>79</v>
      </c>
    </row>
    <row r="16" spans="2:26" ht="15.75" customHeight="1" x14ac:dyDescent="0.25">
      <c r="B16" s="15">
        <v>12</v>
      </c>
      <c r="C16" s="32">
        <v>4</v>
      </c>
      <c r="D16" s="32">
        <v>3</v>
      </c>
      <c r="E16" s="32">
        <v>3</v>
      </c>
      <c r="F16" s="32">
        <v>4</v>
      </c>
      <c r="G16" s="32">
        <v>4</v>
      </c>
      <c r="H16" s="32">
        <v>5</v>
      </c>
      <c r="I16" s="32">
        <v>4</v>
      </c>
      <c r="J16" s="32">
        <v>4</v>
      </c>
      <c r="K16" s="32">
        <v>4</v>
      </c>
      <c r="L16" s="32">
        <v>4</v>
      </c>
      <c r="M16" s="32">
        <v>5</v>
      </c>
      <c r="N16" s="32">
        <v>4</v>
      </c>
      <c r="O16" s="32">
        <v>3</v>
      </c>
      <c r="P16" s="32">
        <v>5</v>
      </c>
      <c r="Q16" s="32">
        <v>3</v>
      </c>
      <c r="R16" s="16"/>
      <c r="S16" s="34">
        <v>3</v>
      </c>
      <c r="T16" s="34">
        <v>4</v>
      </c>
      <c r="U16" s="34">
        <v>5</v>
      </c>
      <c r="V16" s="34">
        <v>3</v>
      </c>
      <c r="W16" s="34">
        <v>3</v>
      </c>
      <c r="X16" s="17">
        <f>SUM(C16:W16)/20</f>
        <v>3.85</v>
      </c>
      <c r="Z16" s="2">
        <f>SUM(C16:W16)</f>
        <v>77</v>
      </c>
    </row>
    <row r="17" spans="2:26" ht="15.75" customHeight="1" x14ac:dyDescent="0.25">
      <c r="B17" s="15">
        <v>13</v>
      </c>
      <c r="C17" s="32">
        <v>3</v>
      </c>
      <c r="D17" s="32">
        <v>4</v>
      </c>
      <c r="E17" s="32">
        <v>4</v>
      </c>
      <c r="F17" s="32">
        <v>4</v>
      </c>
      <c r="G17" s="32">
        <v>4</v>
      </c>
      <c r="H17" s="32">
        <v>4</v>
      </c>
      <c r="I17" s="32">
        <v>4</v>
      </c>
      <c r="J17" s="32">
        <v>3</v>
      </c>
      <c r="K17" s="32">
        <v>3</v>
      </c>
      <c r="L17" s="32">
        <v>5</v>
      </c>
      <c r="M17" s="32">
        <v>3</v>
      </c>
      <c r="N17" s="32">
        <v>4</v>
      </c>
      <c r="O17" s="32">
        <v>4</v>
      </c>
      <c r="P17" s="32">
        <v>4</v>
      </c>
      <c r="Q17" s="32">
        <v>4</v>
      </c>
      <c r="R17" s="16"/>
      <c r="S17" s="34">
        <v>4</v>
      </c>
      <c r="T17" s="34">
        <v>5</v>
      </c>
      <c r="U17" s="34">
        <v>4</v>
      </c>
      <c r="V17" s="34">
        <v>3</v>
      </c>
      <c r="W17" s="34">
        <v>4</v>
      </c>
      <c r="X17" s="17">
        <f>SUM(C17:W17)/20</f>
        <v>3.85</v>
      </c>
      <c r="Z17" s="2">
        <f>SUM(C17:W17)</f>
        <v>77</v>
      </c>
    </row>
    <row r="18" spans="2:26" ht="15.75" customHeight="1" x14ac:dyDescent="0.25">
      <c r="B18" s="15">
        <v>14</v>
      </c>
      <c r="C18" s="32">
        <v>4</v>
      </c>
      <c r="D18" s="32">
        <v>4</v>
      </c>
      <c r="E18" s="32">
        <v>5</v>
      </c>
      <c r="F18" s="32">
        <v>4</v>
      </c>
      <c r="G18" s="32">
        <v>5</v>
      </c>
      <c r="H18" s="32">
        <v>4</v>
      </c>
      <c r="I18" s="32">
        <v>3</v>
      </c>
      <c r="J18" s="32">
        <v>4</v>
      </c>
      <c r="K18" s="32">
        <v>4</v>
      </c>
      <c r="L18" s="32">
        <v>4</v>
      </c>
      <c r="M18" s="32">
        <v>3</v>
      </c>
      <c r="N18" s="32">
        <v>3</v>
      </c>
      <c r="O18" s="32">
        <v>4</v>
      </c>
      <c r="P18" s="32">
        <v>4</v>
      </c>
      <c r="Q18" s="32">
        <v>4</v>
      </c>
      <c r="R18" s="16"/>
      <c r="S18" s="34">
        <v>3</v>
      </c>
      <c r="T18" s="34">
        <v>4</v>
      </c>
      <c r="U18" s="34">
        <v>4</v>
      </c>
      <c r="V18" s="34">
        <v>4</v>
      </c>
      <c r="W18" s="34">
        <v>5</v>
      </c>
      <c r="X18" s="17">
        <f>SUM(C18:W18)/20</f>
        <v>3.95</v>
      </c>
      <c r="Z18" s="2">
        <f>SUM(C18:W18)</f>
        <v>79</v>
      </c>
    </row>
    <row r="19" spans="2:26" ht="15.75" customHeight="1" x14ac:dyDescent="0.25">
      <c r="B19" s="15">
        <v>15</v>
      </c>
      <c r="C19" s="32">
        <v>3</v>
      </c>
      <c r="D19" s="32">
        <v>3</v>
      </c>
      <c r="E19" s="32">
        <v>4</v>
      </c>
      <c r="F19" s="32">
        <v>5</v>
      </c>
      <c r="G19" s="32">
        <v>5</v>
      </c>
      <c r="H19" s="32">
        <v>5</v>
      </c>
      <c r="I19" s="32">
        <v>3</v>
      </c>
      <c r="J19" s="32">
        <v>3</v>
      </c>
      <c r="K19" s="32">
        <v>3</v>
      </c>
      <c r="L19" s="32">
        <v>5</v>
      </c>
      <c r="M19" s="32">
        <v>3</v>
      </c>
      <c r="N19" s="32">
        <v>3</v>
      </c>
      <c r="O19" s="32">
        <v>4</v>
      </c>
      <c r="P19" s="32">
        <v>3</v>
      </c>
      <c r="Q19" s="32">
        <v>3</v>
      </c>
      <c r="R19" s="16"/>
      <c r="S19" s="34">
        <v>4</v>
      </c>
      <c r="T19" s="34">
        <v>4</v>
      </c>
      <c r="U19" s="34">
        <v>3</v>
      </c>
      <c r="V19" s="34">
        <v>3</v>
      </c>
      <c r="W19" s="34">
        <v>4</v>
      </c>
      <c r="X19" s="17">
        <f>SUM(C19:W19)/20</f>
        <v>3.65</v>
      </c>
      <c r="Z19" s="2">
        <f>SUM(C19:W19)</f>
        <v>73</v>
      </c>
    </row>
    <row r="20" spans="2:26" ht="15.75" customHeight="1" x14ac:dyDescent="0.25">
      <c r="B20" s="15">
        <v>16</v>
      </c>
      <c r="C20" s="32">
        <v>3</v>
      </c>
      <c r="D20" s="32">
        <v>4</v>
      </c>
      <c r="E20" s="32">
        <v>4</v>
      </c>
      <c r="F20" s="32">
        <v>4</v>
      </c>
      <c r="G20" s="32">
        <v>4</v>
      </c>
      <c r="H20" s="32">
        <v>4</v>
      </c>
      <c r="I20" s="32">
        <v>4</v>
      </c>
      <c r="J20" s="32">
        <v>4</v>
      </c>
      <c r="K20" s="32">
        <v>3</v>
      </c>
      <c r="L20" s="32">
        <v>5</v>
      </c>
      <c r="M20" s="32">
        <v>3</v>
      </c>
      <c r="N20" s="32">
        <v>4</v>
      </c>
      <c r="O20" s="32">
        <v>4</v>
      </c>
      <c r="P20" s="32">
        <v>3</v>
      </c>
      <c r="Q20" s="32">
        <v>3</v>
      </c>
      <c r="R20" s="16"/>
      <c r="S20" s="34">
        <v>3</v>
      </c>
      <c r="T20" s="34">
        <v>4</v>
      </c>
      <c r="U20" s="34">
        <v>3</v>
      </c>
      <c r="V20" s="34">
        <v>4</v>
      </c>
      <c r="W20" s="34">
        <v>4</v>
      </c>
      <c r="X20" s="17">
        <f>SUM(C20:W20)/20</f>
        <v>3.7</v>
      </c>
      <c r="Z20" s="2">
        <f>SUM(C20:W20)</f>
        <v>74</v>
      </c>
    </row>
    <row r="21" spans="2:26" ht="15.75" customHeight="1" x14ac:dyDescent="0.25">
      <c r="B21" s="15">
        <v>17</v>
      </c>
      <c r="C21" s="32">
        <v>4</v>
      </c>
      <c r="D21" s="32">
        <v>4</v>
      </c>
      <c r="E21" s="32">
        <v>4</v>
      </c>
      <c r="F21" s="32">
        <v>4</v>
      </c>
      <c r="G21" s="32">
        <v>3</v>
      </c>
      <c r="H21" s="32">
        <v>2</v>
      </c>
      <c r="I21" s="32">
        <v>3</v>
      </c>
      <c r="J21" s="32">
        <v>4</v>
      </c>
      <c r="K21" s="32">
        <v>5</v>
      </c>
      <c r="L21" s="32">
        <v>4</v>
      </c>
      <c r="M21" s="32">
        <v>4</v>
      </c>
      <c r="N21" s="32">
        <v>4</v>
      </c>
      <c r="O21" s="32">
        <v>4</v>
      </c>
      <c r="P21" s="32">
        <v>3</v>
      </c>
      <c r="Q21" s="32">
        <v>3</v>
      </c>
      <c r="R21" s="16"/>
      <c r="S21" s="34">
        <v>4</v>
      </c>
      <c r="T21" s="34">
        <v>3</v>
      </c>
      <c r="U21" s="34">
        <v>4</v>
      </c>
      <c r="V21" s="34">
        <v>4</v>
      </c>
      <c r="W21" s="34">
        <v>3</v>
      </c>
      <c r="X21" s="17">
        <f>SUM(C21:W21)/20</f>
        <v>3.65</v>
      </c>
      <c r="Z21" s="2">
        <f>SUM(C21:W21)</f>
        <v>73</v>
      </c>
    </row>
    <row r="22" spans="2:26" ht="15.75" customHeight="1" x14ac:dyDescent="0.25">
      <c r="B22" s="15">
        <v>18</v>
      </c>
      <c r="C22" s="32">
        <v>4</v>
      </c>
      <c r="D22" s="32">
        <v>3</v>
      </c>
      <c r="E22" s="32">
        <v>3</v>
      </c>
      <c r="F22" s="32">
        <v>2</v>
      </c>
      <c r="G22" s="32">
        <v>4</v>
      </c>
      <c r="H22" s="32">
        <v>3</v>
      </c>
      <c r="I22" s="32">
        <v>5</v>
      </c>
      <c r="J22" s="32">
        <v>4</v>
      </c>
      <c r="K22" s="32">
        <v>3</v>
      </c>
      <c r="L22" s="32">
        <v>3</v>
      </c>
      <c r="M22" s="32">
        <v>2</v>
      </c>
      <c r="N22" s="32">
        <v>3</v>
      </c>
      <c r="O22" s="32">
        <v>2</v>
      </c>
      <c r="P22" s="32">
        <v>2</v>
      </c>
      <c r="Q22" s="32">
        <v>3</v>
      </c>
      <c r="R22" s="16"/>
      <c r="S22" s="34">
        <v>2</v>
      </c>
      <c r="T22" s="34">
        <v>3</v>
      </c>
      <c r="U22" s="34">
        <v>4</v>
      </c>
      <c r="V22" s="34">
        <v>4</v>
      </c>
      <c r="W22" s="34">
        <v>3</v>
      </c>
      <c r="X22" s="17">
        <f>SUM(C22:W22)/20</f>
        <v>3.1</v>
      </c>
      <c r="Z22" s="2">
        <f>SUM(C22:W22)</f>
        <v>62</v>
      </c>
    </row>
    <row r="23" spans="2:26" ht="15.75" customHeight="1" x14ac:dyDescent="0.25">
      <c r="B23" s="15">
        <v>19</v>
      </c>
      <c r="C23" s="32">
        <v>3</v>
      </c>
      <c r="D23" s="32">
        <v>3</v>
      </c>
      <c r="E23" s="32">
        <v>4</v>
      </c>
      <c r="F23" s="32">
        <v>4</v>
      </c>
      <c r="G23" s="32">
        <v>3</v>
      </c>
      <c r="H23" s="32">
        <v>4</v>
      </c>
      <c r="I23" s="32">
        <v>3</v>
      </c>
      <c r="J23" s="32">
        <v>3</v>
      </c>
      <c r="K23" s="32">
        <v>3</v>
      </c>
      <c r="L23" s="32">
        <v>3</v>
      </c>
      <c r="M23" s="32">
        <v>3</v>
      </c>
      <c r="N23" s="32">
        <v>3</v>
      </c>
      <c r="O23" s="32">
        <v>4</v>
      </c>
      <c r="P23" s="32">
        <v>3</v>
      </c>
      <c r="Q23" s="32">
        <v>3</v>
      </c>
      <c r="R23" s="16"/>
      <c r="S23" s="34">
        <v>4</v>
      </c>
      <c r="T23" s="34">
        <v>2</v>
      </c>
      <c r="U23" s="34">
        <v>3</v>
      </c>
      <c r="V23" s="34">
        <v>4</v>
      </c>
      <c r="W23" s="34">
        <v>2</v>
      </c>
      <c r="X23" s="17">
        <f>SUM(C23:W23)/20</f>
        <v>3.2</v>
      </c>
      <c r="Z23" s="2">
        <f>SUM(C23:W23)</f>
        <v>64</v>
      </c>
    </row>
    <row r="24" spans="2:26" ht="15.75" customHeight="1" x14ac:dyDescent="0.25">
      <c r="B24" s="15">
        <v>20</v>
      </c>
      <c r="C24" s="32">
        <v>3</v>
      </c>
      <c r="D24" s="32">
        <v>3</v>
      </c>
      <c r="E24" s="32">
        <v>2</v>
      </c>
      <c r="F24" s="32">
        <v>2</v>
      </c>
      <c r="G24" s="32">
        <v>5</v>
      </c>
      <c r="H24" s="32">
        <v>5</v>
      </c>
      <c r="I24" s="32">
        <v>3</v>
      </c>
      <c r="J24" s="32">
        <v>3</v>
      </c>
      <c r="K24" s="32">
        <v>4</v>
      </c>
      <c r="L24" s="32">
        <v>3</v>
      </c>
      <c r="M24" s="32">
        <v>3</v>
      </c>
      <c r="N24" s="32">
        <v>5</v>
      </c>
      <c r="O24" s="32">
        <v>2</v>
      </c>
      <c r="P24" s="32">
        <v>3</v>
      </c>
      <c r="Q24" s="32">
        <v>3</v>
      </c>
      <c r="R24" s="16"/>
      <c r="S24" s="34">
        <v>3</v>
      </c>
      <c r="T24" s="34">
        <v>4</v>
      </c>
      <c r="U24" s="34">
        <v>3</v>
      </c>
      <c r="V24" s="34">
        <v>3</v>
      </c>
      <c r="W24" s="34">
        <v>3</v>
      </c>
      <c r="X24" s="17">
        <f>SUM(C24:W24)/20</f>
        <v>3.25</v>
      </c>
      <c r="Z24" s="2">
        <f>SUM(C24:W24)</f>
        <v>65</v>
      </c>
    </row>
    <row r="25" spans="2:26" ht="15.75" customHeight="1" x14ac:dyDescent="0.25">
      <c r="B25" s="15">
        <v>21</v>
      </c>
      <c r="C25" s="32">
        <v>3</v>
      </c>
      <c r="D25" s="32">
        <v>3</v>
      </c>
      <c r="E25" s="32">
        <v>3</v>
      </c>
      <c r="F25" s="32">
        <v>4</v>
      </c>
      <c r="G25" s="32">
        <v>3</v>
      </c>
      <c r="H25" s="32">
        <v>4</v>
      </c>
      <c r="I25" s="32">
        <v>3</v>
      </c>
      <c r="J25" s="32">
        <v>3</v>
      </c>
      <c r="K25" s="32">
        <v>4</v>
      </c>
      <c r="L25" s="32">
        <v>5</v>
      </c>
      <c r="M25" s="32">
        <v>4</v>
      </c>
      <c r="N25" s="32">
        <v>3</v>
      </c>
      <c r="O25" s="32">
        <v>4</v>
      </c>
      <c r="P25" s="32">
        <v>4</v>
      </c>
      <c r="Q25" s="32">
        <v>3</v>
      </c>
      <c r="R25" s="16"/>
      <c r="S25" s="34">
        <v>2</v>
      </c>
      <c r="T25" s="34">
        <v>3</v>
      </c>
      <c r="U25" s="34">
        <v>2</v>
      </c>
      <c r="V25" s="34">
        <v>3</v>
      </c>
      <c r="W25" s="34">
        <v>4</v>
      </c>
      <c r="X25" s="17">
        <f>SUM(C25:W25)/20</f>
        <v>3.35</v>
      </c>
      <c r="Z25" s="2">
        <f>SUM(C25:W25)</f>
        <v>67</v>
      </c>
    </row>
    <row r="26" spans="2:26" ht="15.75" customHeight="1" x14ac:dyDescent="0.25">
      <c r="B26" s="15">
        <v>22</v>
      </c>
      <c r="C26" s="32">
        <v>3</v>
      </c>
      <c r="D26" s="32">
        <v>3</v>
      </c>
      <c r="E26" s="32">
        <v>3</v>
      </c>
      <c r="F26" s="32">
        <v>3</v>
      </c>
      <c r="G26" s="32">
        <v>3</v>
      </c>
      <c r="H26" s="32">
        <v>3</v>
      </c>
      <c r="I26" s="32">
        <v>4</v>
      </c>
      <c r="J26" s="32">
        <v>3</v>
      </c>
      <c r="K26" s="32">
        <v>4</v>
      </c>
      <c r="L26" s="32">
        <v>4</v>
      </c>
      <c r="M26" s="32">
        <v>3</v>
      </c>
      <c r="N26" s="32">
        <v>4</v>
      </c>
      <c r="O26" s="32">
        <v>3</v>
      </c>
      <c r="P26" s="32">
        <v>3</v>
      </c>
      <c r="Q26" s="32">
        <v>3</v>
      </c>
      <c r="R26" s="16"/>
      <c r="S26" s="34">
        <v>3</v>
      </c>
      <c r="T26" s="34">
        <v>3</v>
      </c>
      <c r="U26" s="34">
        <v>4</v>
      </c>
      <c r="V26" s="34">
        <v>3</v>
      </c>
      <c r="W26" s="34">
        <v>5</v>
      </c>
      <c r="X26" s="17">
        <f>SUM(C26:W26)/20</f>
        <v>3.35</v>
      </c>
      <c r="Z26" s="2">
        <f>SUM(C26:W26)</f>
        <v>67</v>
      </c>
    </row>
    <row r="27" spans="2:26" ht="15.75" customHeight="1" x14ac:dyDescent="0.25">
      <c r="B27" s="15">
        <v>23</v>
      </c>
      <c r="C27" s="32">
        <v>3</v>
      </c>
      <c r="D27" s="32">
        <v>3</v>
      </c>
      <c r="E27" s="32">
        <v>3</v>
      </c>
      <c r="F27" s="32">
        <v>4</v>
      </c>
      <c r="G27" s="32">
        <v>4</v>
      </c>
      <c r="H27" s="32">
        <v>3</v>
      </c>
      <c r="I27" s="32">
        <v>3</v>
      </c>
      <c r="J27" s="32">
        <v>4</v>
      </c>
      <c r="K27" s="32">
        <v>3</v>
      </c>
      <c r="L27" s="32">
        <v>3</v>
      </c>
      <c r="M27" s="32">
        <v>3</v>
      </c>
      <c r="N27" s="32">
        <v>3</v>
      </c>
      <c r="O27" s="32">
        <v>4</v>
      </c>
      <c r="P27" s="32">
        <v>3</v>
      </c>
      <c r="Q27" s="32">
        <v>4</v>
      </c>
      <c r="R27" s="16"/>
      <c r="S27" s="34">
        <v>3</v>
      </c>
      <c r="T27" s="34">
        <v>4</v>
      </c>
      <c r="U27" s="34">
        <v>3</v>
      </c>
      <c r="V27" s="34">
        <v>3</v>
      </c>
      <c r="W27" s="34">
        <v>3</v>
      </c>
      <c r="X27" s="17">
        <f>SUM(C27:W27)/20</f>
        <v>3.3</v>
      </c>
      <c r="Z27" s="2">
        <f>SUM(C27:W27)</f>
        <v>66</v>
      </c>
    </row>
    <row r="28" spans="2:26" ht="15.75" customHeight="1" x14ac:dyDescent="0.25">
      <c r="B28" s="15">
        <v>24</v>
      </c>
      <c r="C28" s="32">
        <v>4</v>
      </c>
      <c r="D28" s="32">
        <v>3</v>
      </c>
      <c r="E28" s="32">
        <v>3</v>
      </c>
      <c r="F28" s="32">
        <v>4</v>
      </c>
      <c r="G28" s="32">
        <v>3</v>
      </c>
      <c r="H28" s="32">
        <v>3</v>
      </c>
      <c r="I28" s="32">
        <v>3</v>
      </c>
      <c r="J28" s="32">
        <v>3</v>
      </c>
      <c r="K28" s="32">
        <v>4</v>
      </c>
      <c r="L28" s="32">
        <v>3</v>
      </c>
      <c r="M28" s="32">
        <v>3</v>
      </c>
      <c r="N28" s="32">
        <v>4</v>
      </c>
      <c r="O28" s="32">
        <v>3</v>
      </c>
      <c r="P28" s="32">
        <v>5</v>
      </c>
      <c r="Q28" s="32">
        <v>4</v>
      </c>
      <c r="R28" s="16"/>
      <c r="S28" s="34">
        <v>3</v>
      </c>
      <c r="T28" s="34">
        <v>2</v>
      </c>
      <c r="U28" s="34">
        <v>4</v>
      </c>
      <c r="V28" s="34">
        <v>3</v>
      </c>
      <c r="W28" s="34">
        <v>2</v>
      </c>
      <c r="X28" s="17">
        <f>SUM(C28:W28)/20</f>
        <v>3.3</v>
      </c>
      <c r="Z28" s="2">
        <f>SUM(C28:W28)</f>
        <v>66</v>
      </c>
    </row>
    <row r="29" spans="2:26" ht="15.75" customHeight="1" x14ac:dyDescent="0.25">
      <c r="B29" s="15">
        <v>25</v>
      </c>
      <c r="C29" s="32">
        <v>3</v>
      </c>
      <c r="D29" s="32">
        <v>4</v>
      </c>
      <c r="E29" s="32">
        <v>3</v>
      </c>
      <c r="F29" s="32">
        <v>3</v>
      </c>
      <c r="G29" s="32">
        <v>3</v>
      </c>
      <c r="H29" s="32">
        <v>5</v>
      </c>
      <c r="I29" s="32">
        <v>2</v>
      </c>
      <c r="J29" s="32">
        <v>3</v>
      </c>
      <c r="K29" s="32">
        <v>3</v>
      </c>
      <c r="L29" s="32">
        <v>4</v>
      </c>
      <c r="M29" s="32">
        <v>2</v>
      </c>
      <c r="N29" s="32">
        <v>3</v>
      </c>
      <c r="O29" s="32">
        <v>4</v>
      </c>
      <c r="P29" s="32">
        <v>2</v>
      </c>
      <c r="Q29" s="32">
        <v>2</v>
      </c>
      <c r="R29" s="16"/>
      <c r="S29" s="34">
        <v>3</v>
      </c>
      <c r="T29" s="34">
        <v>3</v>
      </c>
      <c r="U29" s="34">
        <v>3</v>
      </c>
      <c r="V29" s="34">
        <v>4</v>
      </c>
      <c r="W29" s="34">
        <v>3</v>
      </c>
      <c r="X29" s="17">
        <f>SUM(C29:W29)/20</f>
        <v>3.1</v>
      </c>
      <c r="Z29" s="2">
        <f>SUM(C29:W29)</f>
        <v>62</v>
      </c>
    </row>
    <row r="30" spans="2:26" ht="15.75" customHeight="1" x14ac:dyDescent="0.25">
      <c r="B30" s="15">
        <v>26</v>
      </c>
      <c r="C30" s="32">
        <v>3</v>
      </c>
      <c r="D30" s="32">
        <v>3</v>
      </c>
      <c r="E30" s="32">
        <v>3</v>
      </c>
      <c r="F30" s="32">
        <v>4</v>
      </c>
      <c r="G30" s="32">
        <v>4</v>
      </c>
      <c r="H30" s="32">
        <v>4</v>
      </c>
      <c r="I30" s="32">
        <v>2</v>
      </c>
      <c r="J30" s="32">
        <v>4</v>
      </c>
      <c r="K30" s="32">
        <v>2</v>
      </c>
      <c r="L30" s="32">
        <v>3</v>
      </c>
      <c r="M30" s="32">
        <v>3</v>
      </c>
      <c r="N30" s="32">
        <v>4</v>
      </c>
      <c r="O30" s="32">
        <v>2</v>
      </c>
      <c r="P30" s="32">
        <v>2</v>
      </c>
      <c r="Q30" s="32">
        <v>4</v>
      </c>
      <c r="R30" s="16"/>
      <c r="S30" s="34">
        <v>4</v>
      </c>
      <c r="T30" s="34">
        <v>3</v>
      </c>
      <c r="U30" s="34">
        <v>3</v>
      </c>
      <c r="V30" s="34">
        <v>3</v>
      </c>
      <c r="W30" s="34">
        <v>3</v>
      </c>
      <c r="X30" s="17">
        <f>SUM(C30:W30)/20</f>
        <v>3.15</v>
      </c>
      <c r="Z30" s="2">
        <f>SUM(C30:W30)</f>
        <v>63</v>
      </c>
    </row>
    <row r="31" spans="2:26" ht="15.75" customHeight="1" x14ac:dyDescent="0.25">
      <c r="B31" s="15">
        <v>27</v>
      </c>
      <c r="C31" s="32">
        <v>4</v>
      </c>
      <c r="D31" s="32">
        <v>2</v>
      </c>
      <c r="E31" s="32">
        <v>4</v>
      </c>
      <c r="F31" s="32">
        <v>3</v>
      </c>
      <c r="G31" s="32">
        <v>2</v>
      </c>
      <c r="H31" s="32">
        <v>3</v>
      </c>
      <c r="I31" s="32">
        <v>2</v>
      </c>
      <c r="J31" s="32">
        <v>3</v>
      </c>
      <c r="K31" s="32">
        <v>4</v>
      </c>
      <c r="L31" s="32">
        <v>3</v>
      </c>
      <c r="M31" s="32">
        <v>4</v>
      </c>
      <c r="N31" s="32">
        <v>3</v>
      </c>
      <c r="O31" s="32">
        <v>3</v>
      </c>
      <c r="P31" s="32">
        <v>4</v>
      </c>
      <c r="Q31" s="32">
        <v>3</v>
      </c>
      <c r="R31" s="16"/>
      <c r="S31" s="34">
        <v>3</v>
      </c>
      <c r="T31" s="34">
        <v>4</v>
      </c>
      <c r="U31" s="34">
        <v>3</v>
      </c>
      <c r="V31" s="34">
        <v>3</v>
      </c>
      <c r="W31" s="34">
        <v>3</v>
      </c>
      <c r="X31" s="17">
        <f>SUM(C31:W31)/20</f>
        <v>3.15</v>
      </c>
      <c r="Z31" s="2">
        <f>SUM(C31:W31)</f>
        <v>63</v>
      </c>
    </row>
    <row r="32" spans="2:26" ht="15.75" customHeight="1" x14ac:dyDescent="0.25">
      <c r="B32" s="15">
        <v>28</v>
      </c>
      <c r="C32" s="32">
        <v>3</v>
      </c>
      <c r="D32" s="32">
        <v>4</v>
      </c>
      <c r="E32" s="32">
        <v>4</v>
      </c>
      <c r="F32" s="32">
        <v>4</v>
      </c>
      <c r="G32" s="32">
        <v>3</v>
      </c>
      <c r="H32" s="32">
        <v>3</v>
      </c>
      <c r="I32" s="32">
        <v>4</v>
      </c>
      <c r="J32" s="32">
        <v>4</v>
      </c>
      <c r="K32" s="32">
        <v>4</v>
      </c>
      <c r="L32" s="32">
        <v>3</v>
      </c>
      <c r="M32" s="32">
        <v>3</v>
      </c>
      <c r="N32" s="32">
        <v>4</v>
      </c>
      <c r="O32" s="32">
        <v>4</v>
      </c>
      <c r="P32" s="32">
        <v>3</v>
      </c>
      <c r="Q32" s="32">
        <v>3</v>
      </c>
      <c r="R32" s="16"/>
      <c r="S32" s="34">
        <v>3</v>
      </c>
      <c r="T32" s="34">
        <v>4</v>
      </c>
      <c r="U32" s="34">
        <v>2</v>
      </c>
      <c r="V32" s="34">
        <v>3</v>
      </c>
      <c r="W32" s="34">
        <v>4</v>
      </c>
      <c r="X32" s="17">
        <f>SUM(C32:W32)/20</f>
        <v>3.45</v>
      </c>
      <c r="Z32" s="2">
        <f>SUM(C32:W32)</f>
        <v>69</v>
      </c>
    </row>
    <row r="33" spans="2:26" ht="15.75" customHeight="1" x14ac:dyDescent="0.25">
      <c r="B33" s="15">
        <v>29</v>
      </c>
      <c r="C33" s="32">
        <v>4</v>
      </c>
      <c r="D33" s="32">
        <v>3</v>
      </c>
      <c r="E33" s="32">
        <v>3</v>
      </c>
      <c r="F33" s="32">
        <v>4</v>
      </c>
      <c r="G33" s="32">
        <v>3</v>
      </c>
      <c r="H33" s="32">
        <v>4</v>
      </c>
      <c r="I33" s="32">
        <v>4</v>
      </c>
      <c r="J33" s="32">
        <v>3</v>
      </c>
      <c r="K33" s="32">
        <v>5</v>
      </c>
      <c r="L33" s="32">
        <v>5</v>
      </c>
      <c r="M33" s="32">
        <v>2</v>
      </c>
      <c r="N33" s="32">
        <v>3</v>
      </c>
      <c r="O33" s="32">
        <v>3</v>
      </c>
      <c r="P33" s="32">
        <v>4</v>
      </c>
      <c r="Q33" s="32">
        <v>4</v>
      </c>
      <c r="R33" s="16"/>
      <c r="S33" s="34">
        <v>2</v>
      </c>
      <c r="T33" s="34">
        <v>3</v>
      </c>
      <c r="U33" s="34">
        <v>4</v>
      </c>
      <c r="V33" s="34">
        <v>4</v>
      </c>
      <c r="W33" s="34">
        <v>3</v>
      </c>
      <c r="X33" s="17">
        <f>SUM(C33:W33)/20</f>
        <v>3.5</v>
      </c>
      <c r="Z33" s="2">
        <f>SUM(C33:W33)</f>
        <v>70</v>
      </c>
    </row>
    <row r="34" spans="2:26" ht="15.75" customHeight="1" x14ac:dyDescent="0.25">
      <c r="B34" s="15">
        <v>30</v>
      </c>
      <c r="C34" s="32">
        <v>3</v>
      </c>
      <c r="D34" s="32">
        <v>3</v>
      </c>
      <c r="E34" s="32">
        <v>3</v>
      </c>
      <c r="F34" s="32">
        <v>2</v>
      </c>
      <c r="G34" s="32">
        <v>4</v>
      </c>
      <c r="H34" s="32">
        <v>4</v>
      </c>
      <c r="I34" s="32">
        <v>3</v>
      </c>
      <c r="J34" s="32">
        <v>2</v>
      </c>
      <c r="K34" s="32">
        <v>3</v>
      </c>
      <c r="L34" s="32">
        <v>4</v>
      </c>
      <c r="M34" s="32">
        <v>3</v>
      </c>
      <c r="N34" s="32">
        <v>2</v>
      </c>
      <c r="O34" s="32">
        <v>4</v>
      </c>
      <c r="P34" s="32">
        <v>3</v>
      </c>
      <c r="Q34" s="32">
        <v>3</v>
      </c>
      <c r="R34" s="16"/>
      <c r="S34" s="34">
        <v>3</v>
      </c>
      <c r="T34" s="34">
        <v>2</v>
      </c>
      <c r="U34" s="34">
        <v>3</v>
      </c>
      <c r="V34" s="34">
        <v>3</v>
      </c>
      <c r="W34" s="34">
        <v>5</v>
      </c>
      <c r="X34" s="17">
        <f>SUM(C34:W34)/20</f>
        <v>3.1</v>
      </c>
      <c r="Z34" s="2">
        <f>SUM(C34:W34)</f>
        <v>62</v>
      </c>
    </row>
    <row r="35" spans="2:26" ht="15.75" customHeight="1" x14ac:dyDescent="0.25">
      <c r="B35" s="15">
        <v>31</v>
      </c>
      <c r="C35" s="32">
        <v>3</v>
      </c>
      <c r="D35" s="32">
        <v>4</v>
      </c>
      <c r="E35" s="32">
        <v>2</v>
      </c>
      <c r="F35" s="32">
        <v>2</v>
      </c>
      <c r="G35" s="32">
        <v>3</v>
      </c>
      <c r="H35" s="32">
        <v>3</v>
      </c>
      <c r="I35" s="32">
        <v>2</v>
      </c>
      <c r="J35" s="32">
        <v>3</v>
      </c>
      <c r="K35" s="32">
        <v>2</v>
      </c>
      <c r="L35" s="32">
        <v>2</v>
      </c>
      <c r="M35" s="32">
        <v>4</v>
      </c>
      <c r="N35" s="32">
        <v>3</v>
      </c>
      <c r="O35" s="32">
        <v>3</v>
      </c>
      <c r="P35" s="32">
        <v>2</v>
      </c>
      <c r="Q35" s="32">
        <v>3</v>
      </c>
      <c r="R35" s="16"/>
      <c r="S35" s="34">
        <v>4</v>
      </c>
      <c r="T35" s="34">
        <v>3</v>
      </c>
      <c r="U35" s="34">
        <v>2</v>
      </c>
      <c r="V35" s="34">
        <v>3</v>
      </c>
      <c r="W35" s="34">
        <v>2</v>
      </c>
      <c r="X35" s="17">
        <f>SUM(C35:W35)/20</f>
        <v>2.75</v>
      </c>
      <c r="Z35" s="2">
        <f>SUM(C35:W35)</f>
        <v>55</v>
      </c>
    </row>
    <row r="36" spans="2:26" ht="15.75" customHeight="1" x14ac:dyDescent="0.25">
      <c r="B36" s="15">
        <v>32</v>
      </c>
      <c r="C36" s="32">
        <v>3</v>
      </c>
      <c r="D36" s="32">
        <v>3</v>
      </c>
      <c r="E36" s="32">
        <v>3</v>
      </c>
      <c r="F36" s="32">
        <v>2</v>
      </c>
      <c r="G36" s="32">
        <v>4</v>
      </c>
      <c r="H36" s="32">
        <v>2</v>
      </c>
      <c r="I36" s="32">
        <v>2</v>
      </c>
      <c r="J36" s="32">
        <v>2</v>
      </c>
      <c r="K36" s="32">
        <v>3</v>
      </c>
      <c r="L36" s="32">
        <v>3</v>
      </c>
      <c r="M36" s="32">
        <v>4</v>
      </c>
      <c r="N36" s="32">
        <v>3</v>
      </c>
      <c r="O36" s="32">
        <v>4</v>
      </c>
      <c r="P36" s="32">
        <v>3</v>
      </c>
      <c r="Q36" s="32">
        <v>3</v>
      </c>
      <c r="R36" s="16"/>
      <c r="S36" s="34">
        <v>3</v>
      </c>
      <c r="T36" s="34">
        <v>4</v>
      </c>
      <c r="U36" s="34">
        <v>2</v>
      </c>
      <c r="V36" s="34">
        <v>4</v>
      </c>
      <c r="W36" s="34">
        <v>3</v>
      </c>
      <c r="X36" s="17">
        <f>SUM(C36:W36)/20</f>
        <v>3</v>
      </c>
      <c r="Z36" s="2">
        <f>SUM(C36:W36)</f>
        <v>60</v>
      </c>
    </row>
    <row r="37" spans="2:26" ht="15.75" customHeight="1" x14ac:dyDescent="0.25">
      <c r="B37" s="15">
        <v>33</v>
      </c>
      <c r="C37" s="32">
        <v>2</v>
      </c>
      <c r="D37" s="32">
        <v>2</v>
      </c>
      <c r="E37" s="32">
        <v>4</v>
      </c>
      <c r="F37" s="32">
        <v>3</v>
      </c>
      <c r="G37" s="32">
        <v>3</v>
      </c>
      <c r="H37" s="32">
        <v>3</v>
      </c>
      <c r="I37" s="32">
        <v>3</v>
      </c>
      <c r="J37" s="32">
        <v>4</v>
      </c>
      <c r="K37" s="32">
        <v>4</v>
      </c>
      <c r="L37" s="32">
        <v>3</v>
      </c>
      <c r="M37" s="32">
        <v>3</v>
      </c>
      <c r="N37" s="32">
        <v>3</v>
      </c>
      <c r="O37" s="32">
        <v>4</v>
      </c>
      <c r="P37" s="32">
        <v>3</v>
      </c>
      <c r="Q37" s="32">
        <v>4</v>
      </c>
      <c r="R37" s="16"/>
      <c r="S37" s="34">
        <v>3</v>
      </c>
      <c r="T37" s="34">
        <v>4</v>
      </c>
      <c r="U37" s="34">
        <v>3</v>
      </c>
      <c r="V37" s="34">
        <v>3</v>
      </c>
      <c r="W37" s="34">
        <v>3</v>
      </c>
      <c r="X37" s="17">
        <f>SUM(C37:W37)/20</f>
        <v>3.2</v>
      </c>
      <c r="Z37" s="2">
        <f>SUM(C37:W37)</f>
        <v>64</v>
      </c>
    </row>
    <row r="38" spans="2:26" ht="15.75" customHeight="1" x14ac:dyDescent="0.25">
      <c r="B38" s="15">
        <v>34</v>
      </c>
      <c r="C38" s="32">
        <v>3</v>
      </c>
      <c r="D38" s="32">
        <v>3</v>
      </c>
      <c r="E38" s="32">
        <v>2</v>
      </c>
      <c r="F38" s="32">
        <v>4</v>
      </c>
      <c r="G38" s="32">
        <v>3</v>
      </c>
      <c r="H38" s="32">
        <v>3</v>
      </c>
      <c r="I38" s="32">
        <v>2</v>
      </c>
      <c r="J38" s="32">
        <v>3</v>
      </c>
      <c r="K38" s="32">
        <v>4</v>
      </c>
      <c r="L38" s="32">
        <v>5</v>
      </c>
      <c r="M38" s="32">
        <v>3</v>
      </c>
      <c r="N38" s="32">
        <v>3</v>
      </c>
      <c r="O38" s="32">
        <v>3</v>
      </c>
      <c r="P38" s="32">
        <v>2</v>
      </c>
      <c r="Q38" s="32">
        <v>3</v>
      </c>
      <c r="R38" s="16"/>
      <c r="S38" s="34">
        <v>3</v>
      </c>
      <c r="T38" s="34">
        <v>2</v>
      </c>
      <c r="U38" s="34">
        <v>3</v>
      </c>
      <c r="V38" s="34">
        <v>2</v>
      </c>
      <c r="W38" s="34">
        <v>3</v>
      </c>
      <c r="X38" s="17">
        <f>SUM(C38:W38)/20</f>
        <v>2.95</v>
      </c>
      <c r="Z38" s="2">
        <f>SUM(C38:W38)</f>
        <v>59</v>
      </c>
    </row>
    <row r="39" spans="2:26" ht="15.75" customHeight="1" x14ac:dyDescent="0.25">
      <c r="B39" s="15">
        <v>35</v>
      </c>
      <c r="C39" s="32">
        <v>3</v>
      </c>
      <c r="D39" s="32">
        <v>3</v>
      </c>
      <c r="E39" s="32">
        <v>4</v>
      </c>
      <c r="F39" s="32">
        <v>4</v>
      </c>
      <c r="G39" s="32">
        <v>4</v>
      </c>
      <c r="H39" s="32">
        <v>3</v>
      </c>
      <c r="I39" s="32">
        <v>3</v>
      </c>
      <c r="J39" s="32">
        <v>4</v>
      </c>
      <c r="K39" s="32">
        <v>3</v>
      </c>
      <c r="L39" s="32">
        <v>4</v>
      </c>
      <c r="M39" s="32">
        <v>4</v>
      </c>
      <c r="N39" s="32">
        <v>4</v>
      </c>
      <c r="O39" s="32">
        <v>3</v>
      </c>
      <c r="P39" s="32">
        <v>3</v>
      </c>
      <c r="Q39" s="32">
        <v>3</v>
      </c>
      <c r="R39" s="16"/>
      <c r="S39" s="34">
        <v>4</v>
      </c>
      <c r="T39" s="34">
        <v>5</v>
      </c>
      <c r="U39" s="34">
        <v>4</v>
      </c>
      <c r="V39" s="34">
        <v>3</v>
      </c>
      <c r="W39" s="34">
        <v>3</v>
      </c>
      <c r="X39" s="17">
        <f>SUM(C39:W39)/20</f>
        <v>3.55</v>
      </c>
      <c r="Z39" s="2">
        <f>SUM(C39:W39)</f>
        <v>71</v>
      </c>
    </row>
    <row r="40" spans="2:26" ht="15.75" customHeight="1" x14ac:dyDescent="0.25">
      <c r="B40" s="15">
        <v>36</v>
      </c>
      <c r="C40" s="32">
        <v>3</v>
      </c>
      <c r="D40" s="32">
        <v>4</v>
      </c>
      <c r="E40" s="32">
        <v>4</v>
      </c>
      <c r="F40" s="32">
        <v>4</v>
      </c>
      <c r="G40" s="32">
        <v>3</v>
      </c>
      <c r="H40" s="32">
        <v>2</v>
      </c>
      <c r="I40" s="32">
        <v>4</v>
      </c>
      <c r="J40" s="32">
        <v>2</v>
      </c>
      <c r="K40" s="32">
        <v>2</v>
      </c>
      <c r="L40" s="32">
        <v>2</v>
      </c>
      <c r="M40" s="32">
        <v>3</v>
      </c>
      <c r="N40" s="32">
        <v>2</v>
      </c>
      <c r="O40" s="32">
        <v>2</v>
      </c>
      <c r="P40" s="32">
        <v>3</v>
      </c>
      <c r="Q40" s="32">
        <v>3</v>
      </c>
      <c r="R40" s="16"/>
      <c r="S40" s="34">
        <v>3</v>
      </c>
      <c r="T40" s="34">
        <v>2</v>
      </c>
      <c r="U40" s="34">
        <v>3</v>
      </c>
      <c r="V40" s="34">
        <v>2</v>
      </c>
      <c r="W40" s="34">
        <v>2</v>
      </c>
      <c r="X40" s="17">
        <f>SUM(C40:W40)/20</f>
        <v>2.75</v>
      </c>
      <c r="Z40" s="2">
        <f>SUM(C40:W40)</f>
        <v>55</v>
      </c>
    </row>
    <row r="41" spans="2:26" ht="15.75" customHeight="1" x14ac:dyDescent="0.25">
      <c r="B41" s="15">
        <v>37</v>
      </c>
      <c r="C41" s="32">
        <v>3</v>
      </c>
      <c r="D41" s="32">
        <v>3</v>
      </c>
      <c r="E41" s="32">
        <v>3</v>
      </c>
      <c r="F41" s="32">
        <v>3</v>
      </c>
      <c r="G41" s="32">
        <v>4</v>
      </c>
      <c r="H41" s="32">
        <v>3</v>
      </c>
      <c r="I41" s="32">
        <v>2</v>
      </c>
      <c r="J41" s="32">
        <v>4</v>
      </c>
      <c r="K41" s="32">
        <v>5</v>
      </c>
      <c r="L41" s="32">
        <v>3</v>
      </c>
      <c r="M41" s="32">
        <v>2</v>
      </c>
      <c r="N41" s="32">
        <v>3</v>
      </c>
      <c r="O41" s="32">
        <v>2</v>
      </c>
      <c r="P41" s="32">
        <v>2</v>
      </c>
      <c r="Q41" s="32">
        <v>5</v>
      </c>
      <c r="R41" s="16"/>
      <c r="S41" s="34">
        <v>5</v>
      </c>
      <c r="T41" s="34">
        <v>3</v>
      </c>
      <c r="U41" s="34">
        <v>4</v>
      </c>
      <c r="V41" s="34">
        <v>3</v>
      </c>
      <c r="W41" s="34">
        <v>3</v>
      </c>
      <c r="X41" s="17">
        <f>SUM(C41:W41)/20</f>
        <v>3.25</v>
      </c>
      <c r="Z41" s="2">
        <f>SUM(C41:W41)</f>
        <v>65</v>
      </c>
    </row>
    <row r="42" spans="2:26" ht="15.75" customHeight="1" x14ac:dyDescent="0.25">
      <c r="B42" s="15">
        <v>38</v>
      </c>
      <c r="C42" s="32">
        <v>3</v>
      </c>
      <c r="D42" s="32">
        <v>4</v>
      </c>
      <c r="E42" s="32">
        <v>3</v>
      </c>
      <c r="F42" s="32">
        <v>3</v>
      </c>
      <c r="G42" s="32">
        <v>3</v>
      </c>
      <c r="H42" s="32">
        <v>4</v>
      </c>
      <c r="I42" s="32">
        <v>4</v>
      </c>
      <c r="J42" s="32">
        <v>3</v>
      </c>
      <c r="K42" s="32">
        <v>3</v>
      </c>
      <c r="L42" s="32">
        <v>4</v>
      </c>
      <c r="M42" s="32">
        <v>2</v>
      </c>
      <c r="N42" s="32">
        <v>3</v>
      </c>
      <c r="O42" s="32">
        <v>4</v>
      </c>
      <c r="P42" s="32">
        <v>3</v>
      </c>
      <c r="Q42" s="32">
        <v>3</v>
      </c>
      <c r="R42" s="16"/>
      <c r="S42" s="34">
        <v>4</v>
      </c>
      <c r="T42" s="34">
        <v>2</v>
      </c>
      <c r="U42" s="34">
        <v>3</v>
      </c>
      <c r="V42" s="34">
        <v>4</v>
      </c>
      <c r="W42" s="34">
        <v>5</v>
      </c>
      <c r="X42" s="17">
        <f>SUM(C42:W42)/20</f>
        <v>3.35</v>
      </c>
      <c r="Z42" s="2">
        <f>SUM(C42:W42)</f>
        <v>67</v>
      </c>
    </row>
    <row r="43" spans="2:26" ht="15.75" customHeight="1" x14ac:dyDescent="0.25">
      <c r="B43" s="15">
        <v>39</v>
      </c>
      <c r="C43" s="32">
        <v>3</v>
      </c>
      <c r="D43" s="32">
        <v>3</v>
      </c>
      <c r="E43" s="32">
        <v>3</v>
      </c>
      <c r="F43" s="32">
        <v>3</v>
      </c>
      <c r="G43" s="32">
        <v>3</v>
      </c>
      <c r="H43" s="32">
        <v>3</v>
      </c>
      <c r="I43" s="32">
        <v>4</v>
      </c>
      <c r="J43" s="32">
        <v>3</v>
      </c>
      <c r="K43" s="32">
        <v>4</v>
      </c>
      <c r="L43" s="32">
        <v>3</v>
      </c>
      <c r="M43" s="32">
        <v>3</v>
      </c>
      <c r="N43" s="32">
        <v>4</v>
      </c>
      <c r="O43" s="32">
        <v>3</v>
      </c>
      <c r="P43" s="32">
        <v>3</v>
      </c>
      <c r="Q43" s="32">
        <v>4</v>
      </c>
      <c r="R43" s="16"/>
      <c r="S43" s="34">
        <v>4</v>
      </c>
      <c r="T43" s="34">
        <v>3</v>
      </c>
      <c r="U43" s="34">
        <v>3</v>
      </c>
      <c r="V43" s="34">
        <v>2</v>
      </c>
      <c r="W43" s="34">
        <v>4</v>
      </c>
      <c r="X43" s="17">
        <f>SUM(C43:W43)/20</f>
        <v>3.25</v>
      </c>
      <c r="Z43" s="2">
        <f>SUM(C43:W43)</f>
        <v>65</v>
      </c>
    </row>
    <row r="44" spans="2:26" ht="15.75" customHeight="1" x14ac:dyDescent="0.25">
      <c r="B44" s="15">
        <v>40</v>
      </c>
      <c r="C44" s="32">
        <v>2</v>
      </c>
      <c r="D44" s="32">
        <v>2</v>
      </c>
      <c r="E44" s="32">
        <v>3</v>
      </c>
      <c r="F44" s="32">
        <v>4</v>
      </c>
      <c r="G44" s="32">
        <v>3</v>
      </c>
      <c r="H44" s="32">
        <v>3</v>
      </c>
      <c r="I44" s="32">
        <v>4</v>
      </c>
      <c r="J44" s="32">
        <v>3</v>
      </c>
      <c r="K44" s="32">
        <v>3</v>
      </c>
      <c r="L44" s="32">
        <v>3</v>
      </c>
      <c r="M44" s="32">
        <v>2</v>
      </c>
      <c r="N44" s="32">
        <v>3</v>
      </c>
      <c r="O44" s="32">
        <v>4</v>
      </c>
      <c r="P44" s="32">
        <v>4</v>
      </c>
      <c r="Q44" s="32">
        <v>3</v>
      </c>
      <c r="R44" s="16"/>
      <c r="S44" s="34">
        <v>3</v>
      </c>
      <c r="T44" s="34">
        <v>3</v>
      </c>
      <c r="U44" s="34">
        <v>3</v>
      </c>
      <c r="V44" s="34">
        <v>4</v>
      </c>
      <c r="W44" s="34">
        <v>4</v>
      </c>
      <c r="X44" s="17">
        <f>SUM(C44:W44)/20</f>
        <v>3.15</v>
      </c>
      <c r="Z44" s="2">
        <f>SUM(C44:W44)</f>
        <v>63</v>
      </c>
    </row>
    <row r="45" spans="2:26" hidden="1" x14ac:dyDescent="0.25">
      <c r="B45" s="18" t="s">
        <v>23</v>
      </c>
      <c r="C45" s="19">
        <f>SUM(C5:C44)/40</f>
        <v>3.35</v>
      </c>
      <c r="D45" s="19">
        <f t="shared" ref="D45:W45" si="0">SUM(D5:D44)/40</f>
        <v>3.5249999999999999</v>
      </c>
      <c r="E45" s="19">
        <f t="shared" si="0"/>
        <v>3.4750000000000001</v>
      </c>
      <c r="F45" s="19">
        <f t="shared" si="0"/>
        <v>3.625</v>
      </c>
      <c r="G45" s="19">
        <f t="shared" si="0"/>
        <v>3.7250000000000001</v>
      </c>
      <c r="H45" s="19">
        <f t="shared" si="0"/>
        <v>3.65</v>
      </c>
      <c r="I45" s="19">
        <f t="shared" si="0"/>
        <v>3.4</v>
      </c>
      <c r="J45" s="19">
        <f t="shared" si="0"/>
        <v>3.4</v>
      </c>
      <c r="K45" s="19">
        <f t="shared" si="0"/>
        <v>3.6749999999999998</v>
      </c>
      <c r="L45" s="19">
        <f t="shared" si="0"/>
        <v>3.75</v>
      </c>
      <c r="M45" s="19">
        <f t="shared" si="0"/>
        <v>3.4249999999999998</v>
      </c>
      <c r="N45" s="19">
        <f t="shared" si="0"/>
        <v>3.45</v>
      </c>
      <c r="O45" s="19">
        <f t="shared" si="0"/>
        <v>3.5249999999999999</v>
      </c>
      <c r="P45" s="19">
        <f t="shared" si="0"/>
        <v>3.4</v>
      </c>
      <c r="Q45" s="19">
        <f t="shared" si="0"/>
        <v>3.5249999999999999</v>
      </c>
      <c r="R45" s="19"/>
      <c r="S45" s="19">
        <f t="shared" si="0"/>
        <v>3.55</v>
      </c>
      <c r="T45" s="19">
        <f t="shared" si="0"/>
        <v>3.45</v>
      </c>
      <c r="U45" s="19">
        <f t="shared" si="0"/>
        <v>3.4</v>
      </c>
      <c r="V45" s="19">
        <f t="shared" si="0"/>
        <v>3.5249999999999999</v>
      </c>
      <c r="W45" s="19">
        <f t="shared" si="0"/>
        <v>3.5249999999999999</v>
      </c>
      <c r="X45" s="20"/>
    </row>
    <row r="48" spans="2:26" s="23" customFormat="1" ht="21" hidden="1" x14ac:dyDescent="0.35">
      <c r="B48" s="21" t="s">
        <v>24</v>
      </c>
      <c r="C48" s="22">
        <f>CORREL(C5:C44,$Z5:$Z44)</f>
        <v>0.58255919909773002</v>
      </c>
      <c r="D48" s="22">
        <f>CORREL(D5:D44,$Z5:$Z44)</f>
        <v>0.60404817323125226</v>
      </c>
      <c r="E48" s="22">
        <f>CORREL(E5:E44,$Z5:$Z44)</f>
        <v>0.60579581387771331</v>
      </c>
      <c r="F48" s="22">
        <f>CORREL(F5:F44,$Z5:$Z44)</f>
        <v>0.52721999327754177</v>
      </c>
      <c r="G48" s="22">
        <f>CORREL(G5:G44,$Z5:$Z44)</f>
        <v>0.53478277888753945</v>
      </c>
      <c r="H48" s="22">
        <f>CORREL(H5:H44,$Z5:$Z44)</f>
        <v>0.55757069149376715</v>
      </c>
      <c r="I48" s="22">
        <f>CORREL(I5:I44,$Z5:$Z44)</f>
        <v>0.53225890978277479</v>
      </c>
      <c r="J48" s="22">
        <f>CORREL(J5:J44,$Z5:$Z44)</f>
        <v>0.5244952947469762</v>
      </c>
      <c r="K48" s="22">
        <f>CORREL(K5:K44,$Z5:$Z44)</f>
        <v>0.54292074761386133</v>
      </c>
      <c r="L48" s="22">
        <f>CORREL(L5:L44,$Z5:$Z44)</f>
        <v>0.5353371703243649</v>
      </c>
      <c r="M48" s="22">
        <f>CORREL(M5:M44,$Z5:$Z44)</f>
        <v>0.57850430687700061</v>
      </c>
      <c r="N48" s="22">
        <f>CORREL(N5:N44,$Z5:$Z44)</f>
        <v>0.54242048182609248</v>
      </c>
      <c r="O48" s="22">
        <f>CORREL(O5:O44,$Z5:$Z44)</f>
        <v>0.52312935776094682</v>
      </c>
      <c r="P48" s="22">
        <f>CORREL(P5:P44,$Z5:$Z44)</f>
        <v>0.61091786196742126</v>
      </c>
      <c r="Q48" s="22">
        <f>CORREL(Q5:Q44,$Z5:$Z44)</f>
        <v>0.5292326520827394</v>
      </c>
      <c r="R48" s="22"/>
      <c r="S48" s="22">
        <f>CORREL(S5:S44,$Z5:$Z44)</f>
        <v>0.51413902827364333</v>
      </c>
      <c r="T48" s="22">
        <f>CORREL(T5:T44,$Z5:$Z44)</f>
        <v>0.53056027479631174</v>
      </c>
      <c r="U48" s="22">
        <f>CORREL(U5:U44,$Z5:$Z44)</f>
        <v>0.52332353390714015</v>
      </c>
      <c r="V48" s="22">
        <f>CORREL(V5:V44,$Z5:$Z44)</f>
        <v>0.52973326108123964</v>
      </c>
      <c r="W48" s="22">
        <f>CORREL(W5:W44,$Z5:$Z44)</f>
        <v>0.5223588226424577</v>
      </c>
      <c r="X48" s="21"/>
      <c r="Z48" s="24"/>
    </row>
    <row r="49" spans="2:23" ht="21" hidden="1" x14ac:dyDescent="0.35">
      <c r="B49" s="21" t="s">
        <v>25</v>
      </c>
      <c r="C49" s="25">
        <v>0.312</v>
      </c>
      <c r="D49" s="25">
        <v>0.312</v>
      </c>
      <c r="E49" s="25">
        <v>0.312</v>
      </c>
      <c r="F49" s="25">
        <v>0.312</v>
      </c>
      <c r="G49" s="25">
        <v>0.312</v>
      </c>
      <c r="H49" s="25">
        <v>0.312</v>
      </c>
      <c r="I49" s="25">
        <v>0.312</v>
      </c>
      <c r="J49" s="25">
        <v>0.312</v>
      </c>
      <c r="K49" s="25">
        <v>0.312</v>
      </c>
      <c r="L49" s="25">
        <v>0.312</v>
      </c>
      <c r="M49" s="25">
        <v>0.312</v>
      </c>
      <c r="N49" s="25">
        <v>0.312</v>
      </c>
      <c r="O49" s="25">
        <v>0.312</v>
      </c>
      <c r="P49" s="25">
        <v>0.312</v>
      </c>
      <c r="Q49" s="25">
        <v>0.312</v>
      </c>
      <c r="R49" s="25"/>
      <c r="S49" s="25">
        <v>0.312</v>
      </c>
      <c r="T49" s="25">
        <v>0.312</v>
      </c>
      <c r="U49" s="25">
        <v>0.312</v>
      </c>
      <c r="V49" s="25">
        <v>0.312</v>
      </c>
      <c r="W49" s="25">
        <v>0.312</v>
      </c>
    </row>
    <row r="50" spans="2:23" ht="21" hidden="1" x14ac:dyDescent="0.35">
      <c r="B50" s="21" t="s">
        <v>26</v>
      </c>
      <c r="C50" s="26" t="str">
        <f>IF(C48&gt;C49,"v","t")</f>
        <v>v</v>
      </c>
      <c r="D50" s="26" t="str">
        <f t="shared" ref="D50:W50" si="1">IF(D48&gt;D49,"v","t")</f>
        <v>v</v>
      </c>
      <c r="E50" s="26" t="str">
        <f t="shared" si="1"/>
        <v>v</v>
      </c>
      <c r="F50" s="26" t="str">
        <f t="shared" si="1"/>
        <v>v</v>
      </c>
      <c r="G50" s="26" t="str">
        <f t="shared" si="1"/>
        <v>v</v>
      </c>
      <c r="H50" s="26" t="str">
        <f t="shared" si="1"/>
        <v>v</v>
      </c>
      <c r="I50" s="26" t="str">
        <f t="shared" si="1"/>
        <v>v</v>
      </c>
      <c r="J50" s="26" t="str">
        <f t="shared" si="1"/>
        <v>v</v>
      </c>
      <c r="K50" s="26" t="str">
        <f t="shared" si="1"/>
        <v>v</v>
      </c>
      <c r="L50" s="26" t="str">
        <f t="shared" si="1"/>
        <v>v</v>
      </c>
      <c r="M50" s="26" t="str">
        <f t="shared" si="1"/>
        <v>v</v>
      </c>
      <c r="N50" s="26" t="str">
        <f t="shared" si="1"/>
        <v>v</v>
      </c>
      <c r="O50" s="26" t="str">
        <f t="shared" si="1"/>
        <v>v</v>
      </c>
      <c r="P50" s="26" t="str">
        <f t="shared" si="1"/>
        <v>v</v>
      </c>
      <c r="Q50" s="26" t="str">
        <f t="shared" si="1"/>
        <v>v</v>
      </c>
      <c r="R50" s="26"/>
      <c r="S50" s="26" t="str">
        <f t="shared" si="1"/>
        <v>v</v>
      </c>
      <c r="T50" s="26" t="str">
        <f t="shared" si="1"/>
        <v>v</v>
      </c>
      <c r="U50" s="26" t="str">
        <f t="shared" si="1"/>
        <v>v</v>
      </c>
      <c r="V50" s="26" t="str">
        <f t="shared" si="1"/>
        <v>v</v>
      </c>
      <c r="W50" s="26" t="str">
        <f t="shared" si="1"/>
        <v>v</v>
      </c>
    </row>
    <row r="51" spans="2:23" hidden="1" x14ac:dyDescent="0.25"/>
    <row r="64" spans="2:23" x14ac:dyDescent="0.25">
      <c r="E64" s="27"/>
    </row>
    <row r="65" spans="5:5" x14ac:dyDescent="0.25">
      <c r="E65" s="27"/>
    </row>
  </sheetData>
  <mergeCells count="5">
    <mergeCell ref="B2:B4"/>
    <mergeCell ref="C2:W2"/>
    <mergeCell ref="X2:X4"/>
    <mergeCell ref="S3:W3"/>
    <mergeCell ref="C3:Q3"/>
  </mergeCells>
  <printOptions horizontalCentered="1"/>
  <pageMargins left="0" right="0" top="0.74803149606299213" bottom="0.35433070866141736" header="0.31496062992125984" footer="0.31496062992125984"/>
  <pageSetup paperSize="9" scale="7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 Amalina</dc:creator>
  <cp:lastModifiedBy>Rahma Amalina</cp:lastModifiedBy>
  <dcterms:created xsi:type="dcterms:W3CDTF">2024-08-14T14:43:52Z</dcterms:created>
  <dcterms:modified xsi:type="dcterms:W3CDTF">2024-08-14T14:47:23Z</dcterms:modified>
</cp:coreProperties>
</file>